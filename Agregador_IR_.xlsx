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ondachile-my.sharepoint.com/personal/helaine_ribeiro_sonda_com/Documents/Documentos/"/>
    </mc:Choice>
  </mc:AlternateContent>
  <bookViews>
    <workbookView xWindow="0" yWindow="0" windowWidth="15530" windowHeight="6930"/>
  </bookViews>
  <sheets>
    <sheet name="Menu" sheetId="1" r:id="rId1"/>
    <sheet name="Rendimentos" sheetId="2" r:id="rId2"/>
    <sheet name="Despesas" sheetId="3" r:id="rId3"/>
    <sheet name="Bens" sheetId="4" r:id="rId4"/>
    <sheet name="Resumo" sheetId="5" r:id="rId5"/>
    <sheet name="Configurações" sheetId="6" r:id="rId6"/>
  </sheets>
  <calcPr calcId="162913"/>
</workbook>
</file>

<file path=xl/calcChain.xml><?xml version="1.0" encoding="utf-8"?>
<calcChain xmlns="http://schemas.openxmlformats.org/spreadsheetml/2006/main">
  <c r="E2" i="4" l="1"/>
  <c r="E2" i="3"/>
  <c r="B4" i="5" s="1"/>
  <c r="E2" i="2"/>
  <c r="B3" i="5" s="1"/>
  <c r="D11" i="1"/>
  <c r="D10" i="1"/>
  <c r="D9" i="1"/>
  <c r="D8" i="1"/>
  <c r="D7" i="1"/>
  <c r="B5" i="5" l="1"/>
</calcChain>
</file>

<file path=xl/sharedStrings.xml><?xml version="1.0" encoding="utf-8"?>
<sst xmlns="http://schemas.openxmlformats.org/spreadsheetml/2006/main" count="38" uniqueCount="32">
  <si>
    <t>AGREGADOR DE IMPOSTO DE RENDA</t>
  </si>
  <si>
    <t>Rendimentos</t>
  </si>
  <si>
    <t>Despesas</t>
  </si>
  <si>
    <t>Bens</t>
  </si>
  <si>
    <t>Resumo</t>
  </si>
  <si>
    <t>Configurações</t>
  </si>
  <si>
    <t>Fonte Pagadora</t>
  </si>
  <si>
    <t>Tipo</t>
  </si>
  <si>
    <t>Valor</t>
  </si>
  <si>
    <t>Total Rendimentos</t>
  </si>
  <si>
    <t>Descrição</t>
  </si>
  <si>
    <t>Total Despesas</t>
  </si>
  <si>
    <t>Descrição do Bem</t>
  </si>
  <si>
    <t>Total Bens</t>
  </si>
  <si>
    <t>RESUMO GERAL</t>
  </si>
  <si>
    <t>Resultado</t>
  </si>
  <si>
    <t>CONFIGURAÇÕES DO SISTEMA</t>
  </si>
  <si>
    <t>Ano-base:</t>
  </si>
  <si>
    <t>2025</t>
  </si>
  <si>
    <t>Nome do Contribuinte:</t>
  </si>
  <si>
    <t>Versão da Planilha:</t>
  </si>
  <si>
    <t>1.0</t>
  </si>
  <si>
    <t>Coluna1</t>
  </si>
  <si>
    <t>Coluna2</t>
  </si>
  <si>
    <t>Coluna3</t>
  </si>
  <si>
    <t>Salário</t>
  </si>
  <si>
    <t>CLT</t>
  </si>
  <si>
    <t>R$ 1.000,00</t>
  </si>
  <si>
    <t>Medico</t>
  </si>
  <si>
    <t>Saúde</t>
  </si>
  <si>
    <t>Carro</t>
  </si>
  <si>
    <t>Veículo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</si>
</sst>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-[$R$-416]\ * #,##0.00_-;\-[$R$-416]\ * #,##0.00_-;_-[$R$-416]\ * &quot;-&quot;??_-;_-@_-"/>
    <numFmt numFmtId="169" formatCode="[$R$-416]\ #,##0.00;\-[$R$-416]\ #,##0.00"/>
    <numFmt numFmtId="170" formatCode="&quot;R$&quot;\ #,##0.00"/>
    <numFmt numFmtId="171" formatCode="&quot;R$&quot;\ #,##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11"/>
      <color theme="0"/>
      <name val="Roboto"/>
    </font>
    <font>
      <b/>
      <sz val="11"/>
      <color rgb="FF0066FF"/>
      <name val="Roboto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6" fillId="3" borderId="0" xfId="0" applyFont="1" applyFill="1"/>
    <xf numFmtId="0" fontId="0" fillId="4" borderId="0" xfId="0" applyFill="1"/>
    <xf numFmtId="0" fontId="7" fillId="4" borderId="0" xfId="0" applyFont="1" applyFill="1"/>
    <xf numFmtId="0" fontId="6" fillId="4" borderId="0" xfId="0" applyFont="1" applyFill="1"/>
    <xf numFmtId="0" fontId="0" fillId="5" borderId="0" xfId="0" applyFill="1"/>
    <xf numFmtId="0" fontId="8" fillId="4" borderId="0" xfId="0" applyFont="1" applyFill="1"/>
    <xf numFmtId="0" fontId="5" fillId="4" borderId="0" xfId="0" applyFont="1" applyFill="1"/>
    <xf numFmtId="0" fontId="9" fillId="4" borderId="0" xfId="0" applyFont="1" applyFill="1"/>
    <xf numFmtId="0" fontId="9" fillId="4" borderId="3" xfId="0" applyFont="1" applyFill="1" applyBorder="1"/>
    <xf numFmtId="0" fontId="9" fillId="4" borderId="2" xfId="0" applyFont="1" applyFill="1" applyBorder="1" applyAlignment="1">
      <alignment horizontal="center" vertical="center"/>
    </xf>
    <xf numFmtId="169" fontId="0" fillId="0" borderId="0" xfId="0" applyNumberFormat="1"/>
    <xf numFmtId="0" fontId="4" fillId="6" borderId="0" xfId="0" applyFont="1" applyFill="1"/>
    <xf numFmtId="168" fontId="0" fillId="3" borderId="0" xfId="0" applyNumberFormat="1" applyFill="1"/>
    <xf numFmtId="0" fontId="4" fillId="5" borderId="0" xfId="0" applyFont="1" applyFill="1"/>
    <xf numFmtId="0" fontId="1" fillId="4" borderId="0" xfId="0" applyFont="1" applyFill="1"/>
    <xf numFmtId="0" fontId="3" fillId="4" borderId="0" xfId="0" applyFont="1" applyFill="1"/>
    <xf numFmtId="0" fontId="10" fillId="2" borderId="0" xfId="0" applyFont="1" applyFill="1" applyAlignment="1">
      <alignment horizontal="center"/>
    </xf>
    <xf numFmtId="170" fontId="0" fillId="0" borderId="0" xfId="0" applyNumberFormat="1"/>
    <xf numFmtId="170" fontId="0" fillId="7" borderId="1" xfId="0" applyNumberFormat="1" applyFont="1" applyFill="1" applyBorder="1"/>
    <xf numFmtId="171" fontId="0" fillId="0" borderId="0" xfId="0" applyNumberFormat="1"/>
    <xf numFmtId="171" fontId="0" fillId="7" borderId="1" xfId="0" applyNumberFormat="1" applyFont="1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6FF"/>
        <name val="Roboto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Roboto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name val="Roboto"/>
        <scheme val="none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9" defaultPivotStyle="PivotStyleLight16"/>
  <colors>
    <mruColors>
      <color rgb="FF0066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Resumo Financeiro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Resumo!$A$3:$A$4</c:f>
              <c:strCache>
                <c:ptCount val="2"/>
                <c:pt idx="0">
                  <c:v>Rendimentos</c:v>
                </c:pt>
                <c:pt idx="1">
                  <c:v>Despesas</c:v>
                </c:pt>
              </c:strCache>
            </c:strRef>
          </c:cat>
          <c:val>
            <c:numRef>
              <c:f>Resumo!$B$3:$B$4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B-4770-B88D-A45207614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Valores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313434</xdr:colOff>
      <xdr:row>0</xdr:row>
      <xdr:rowOff>76201</xdr:rowOff>
    </xdr:from>
    <xdr:to>
      <xdr:col>0</xdr:col>
      <xdr:colOff>799327</xdr:colOff>
      <xdr:row>2</xdr:row>
      <xdr:rowOff>69850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434" y="76201"/>
          <a:ext cx="485893" cy="488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Tabela1" displayName="Tabela1" ref="B6:D11" totalsRowShown="0" headerRowDxfId="6" dataDxfId="4">
  <autoFilter ref="B6:D11"/>
  <tableColumns count="3">
    <tableColumn id="1" name="Coluna1" dataDxfId="2"/>
    <tableColumn id="2" name="Coluna2" dataDxfId="3"/>
    <tableColumn id="3" name="Coluna3" dataDxfId="5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2:C17" totalsRowShown="0">
  <autoFilter ref="A2:C17"/>
  <tableColumns count="3">
    <tableColumn id="1" name="CLT"/>
    <tableColumn id="2" name="Salário"/>
    <tableColumn id="3" name="R$ 1.000,0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ela6" displayName="Tabela6" ref="A1:C17" totalsRowShown="0" headerRowDxfId="1">
  <autoFilter ref="A1:C17"/>
  <tableColumns count="3">
    <tableColumn id="1" name="Descrição"/>
    <tableColumn id="2" name="Tipo"/>
    <tableColumn id="3" name="Valo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Tabela7" displayName="Tabela7" ref="A1:C17" totalsRowShown="0" headerRowDxfId="0">
  <autoFilter ref="A1:C17"/>
  <tableColumns count="3">
    <tableColumn id="1" name="Descrição do Bem"/>
    <tableColumn id="2" name="Tipo"/>
    <tableColumn id="3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tabSelected="1" workbookViewId="0">
      <selection activeCell="O5" sqref="O5"/>
    </sheetView>
  </sheetViews>
  <sheetFormatPr defaultRowHeight="14.5" x14ac:dyDescent="0.35"/>
  <cols>
    <col min="1" max="1" width="13.36328125" style="7" customWidth="1"/>
    <col min="2" max="2" width="14.81640625" style="4" customWidth="1"/>
    <col min="3" max="3" width="10.1796875" style="9" hidden="1" customWidth="1"/>
    <col min="4" max="4" width="10.1796875" style="4" customWidth="1"/>
    <col min="5" max="16384" width="8.7265625" style="4"/>
  </cols>
  <sheetData>
    <row r="1" spans="2:6" ht="15" thickBot="1" x14ac:dyDescent="0.4"/>
    <row r="2" spans="2:6" ht="24" customHeight="1" thickBot="1" x14ac:dyDescent="0.4">
      <c r="B2" s="12" t="s">
        <v>0</v>
      </c>
      <c r="C2" s="12"/>
      <c r="D2" s="12"/>
      <c r="E2" s="12"/>
      <c r="F2" s="12"/>
    </row>
    <row r="3" spans="2:6" ht="18.5" customHeight="1" x14ac:dyDescent="0.35">
      <c r="B3" s="11"/>
      <c r="C3" s="11"/>
      <c r="D3" s="11"/>
      <c r="E3" s="11"/>
      <c r="F3" s="11"/>
    </row>
    <row r="4" spans="2:6" x14ac:dyDescent="0.35">
      <c r="C4" s="4"/>
    </row>
    <row r="6" spans="2:6" hidden="1" x14ac:dyDescent="0.35">
      <c r="B6" s="5" t="s">
        <v>22</v>
      </c>
      <c r="C6" s="8" t="s">
        <v>23</v>
      </c>
      <c r="D6" s="6" t="s">
        <v>24</v>
      </c>
    </row>
    <row r="7" spans="2:6" x14ac:dyDescent="0.35">
      <c r="B7" s="10" t="s">
        <v>1</v>
      </c>
      <c r="C7" s="8"/>
      <c r="D7" s="6" t="str">
        <f>HYPERLINK("#'Rendimentos'!A1","Acessar")</f>
        <v>Acessar</v>
      </c>
    </row>
    <row r="8" spans="2:6" x14ac:dyDescent="0.35">
      <c r="B8" s="10" t="s">
        <v>2</v>
      </c>
      <c r="C8" s="8"/>
      <c r="D8" s="6" t="str">
        <f>HYPERLINK("#'Despesas'!A1","Acessar")</f>
        <v>Acessar</v>
      </c>
    </row>
    <row r="9" spans="2:6" x14ac:dyDescent="0.35">
      <c r="B9" s="10" t="s">
        <v>3</v>
      </c>
      <c r="C9" s="8"/>
      <c r="D9" s="6" t="str">
        <f>HYPERLINK("#'Bens'!A1","Acessar")</f>
        <v>Acessar</v>
      </c>
    </row>
    <row r="10" spans="2:6" x14ac:dyDescent="0.35">
      <c r="B10" s="10" t="s">
        <v>4</v>
      </c>
      <c r="C10" s="8"/>
      <c r="D10" s="6" t="str">
        <f>HYPERLINK("#'Resumo'!A1","Acessar")</f>
        <v>Acessar</v>
      </c>
    </row>
    <row r="11" spans="2:6" x14ac:dyDescent="0.35">
      <c r="B11" s="10" t="s">
        <v>5</v>
      </c>
      <c r="C11" s="8"/>
      <c r="D11" s="6" t="str">
        <f>HYPERLINK("#'Configurações'!A1","Acessar")</f>
        <v>Acessar</v>
      </c>
    </row>
  </sheetData>
  <mergeCells count="1">
    <mergeCell ref="B2:F2"/>
  </mergeCells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showGridLines="0" workbookViewId="0">
      <selection activeCell="A3" sqref="A3"/>
    </sheetView>
  </sheetViews>
  <sheetFormatPr defaultRowHeight="14.5" x14ac:dyDescent="0.35"/>
  <cols>
    <col min="1" max="3" width="25" customWidth="1"/>
    <col min="5" max="5" width="16.54296875" bestFit="1" customWidth="1"/>
  </cols>
  <sheetData>
    <row r="1" spans="1:5" x14ac:dyDescent="0.35">
      <c r="A1" s="2" t="s">
        <v>6</v>
      </c>
      <c r="B1" s="2" t="s">
        <v>7</v>
      </c>
      <c r="C1" s="2" t="s">
        <v>8</v>
      </c>
      <c r="E1" s="16" t="s">
        <v>9</v>
      </c>
    </row>
    <row r="2" spans="1:5" x14ac:dyDescent="0.35">
      <c r="A2" t="s">
        <v>26</v>
      </c>
      <c r="B2" t="s">
        <v>25</v>
      </c>
      <c r="C2" s="13" t="s">
        <v>27</v>
      </c>
      <c r="E2" s="15">
        <f>SUM(C2:C200)</f>
        <v>0</v>
      </c>
    </row>
  </sheetData>
  <dataValidations count="2">
    <dataValidation type="list" sqref="B2:B200">
      <formula1>"Salário,Aluguel,Investimentos,Outros"</formula1>
    </dataValidation>
    <dataValidation type="decimal" operator="greaterThanOrEqual" showErrorMessage="1" error="O valor não pode ser negativo" sqref="C2:C200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showGridLines="0" workbookViewId="0">
      <selection activeCell="F8" sqref="F8"/>
    </sheetView>
  </sheetViews>
  <sheetFormatPr defaultRowHeight="14.5" x14ac:dyDescent="0.35"/>
  <cols>
    <col min="1" max="3" width="25" customWidth="1"/>
    <col min="5" max="5" width="13.36328125" bestFit="1" customWidth="1"/>
  </cols>
  <sheetData>
    <row r="1" spans="1:5" x14ac:dyDescent="0.35">
      <c r="A1" s="19" t="s">
        <v>10</v>
      </c>
      <c r="B1" s="2" t="s">
        <v>7</v>
      </c>
      <c r="C1" s="2" t="s">
        <v>8</v>
      </c>
      <c r="E1" s="14" t="s">
        <v>11</v>
      </c>
    </row>
    <row r="2" spans="1:5" x14ac:dyDescent="0.35">
      <c r="A2" t="s">
        <v>28</v>
      </c>
      <c r="B2" t="s">
        <v>29</v>
      </c>
      <c r="C2" s="20">
        <v>500</v>
      </c>
      <c r="E2" s="21">
        <f>SUM(C2:C200)</f>
        <v>500</v>
      </c>
    </row>
  </sheetData>
  <dataValidations count="2">
    <dataValidation type="list" sqref="B2:B200">
      <formula1>"Saúde,Educação,Dependentes,Outros"</formula1>
    </dataValidation>
    <dataValidation type="decimal" operator="greaterThanOrEqual" showErrorMessage="1" error="O valor não pode ser negativo" sqref="C2:C200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showGridLines="0" workbookViewId="0">
      <selection activeCell="F12" sqref="F12"/>
    </sheetView>
  </sheetViews>
  <sheetFormatPr defaultRowHeight="14.5" x14ac:dyDescent="0.35"/>
  <cols>
    <col min="1" max="3" width="25" customWidth="1"/>
    <col min="5" max="5" width="9.453125" bestFit="1" customWidth="1"/>
  </cols>
  <sheetData>
    <row r="1" spans="1:5" x14ac:dyDescent="0.35">
      <c r="A1" s="2" t="s">
        <v>12</v>
      </c>
      <c r="B1" s="2" t="s">
        <v>7</v>
      </c>
      <c r="C1" s="2" t="s">
        <v>8</v>
      </c>
      <c r="E1" s="16" t="s">
        <v>13</v>
      </c>
    </row>
    <row r="2" spans="1:5" x14ac:dyDescent="0.35">
      <c r="A2" t="s">
        <v>30</v>
      </c>
      <c r="B2" t="s">
        <v>31</v>
      </c>
      <c r="C2" s="22">
        <v>10000</v>
      </c>
      <c r="E2" s="23">
        <f>SUM(C2:C200)</f>
        <v>10000</v>
      </c>
    </row>
  </sheetData>
  <dataValidations count="2">
    <dataValidation type="list" sqref="B2:B200">
      <formula1>"Imóvel,Veículo,Investimento,Outros"</formula1>
    </dataValidation>
    <dataValidation type="decimal" operator="greaterThanOrEqual" showErrorMessage="1" error="O valor não pode ser negativo" sqref="C2:C200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workbookViewId="0">
      <selection activeCell="M11" sqref="M11"/>
    </sheetView>
  </sheetViews>
  <sheetFormatPr defaultRowHeight="14.5" x14ac:dyDescent="0.35"/>
  <cols>
    <col min="1" max="16384" width="8.7265625" style="4"/>
  </cols>
  <sheetData>
    <row r="1" spans="1:2" ht="18.5" x14ac:dyDescent="0.45">
      <c r="A1" s="17" t="s">
        <v>14</v>
      </c>
    </row>
    <row r="3" spans="1:2" x14ac:dyDescent="0.35">
      <c r="A3" s="18" t="s">
        <v>1</v>
      </c>
      <c r="B3" s="4">
        <f>Rendimentos!E2</f>
        <v>0</v>
      </c>
    </row>
    <row r="4" spans="1:2" x14ac:dyDescent="0.35">
      <c r="A4" s="18" t="s">
        <v>2</v>
      </c>
      <c r="B4" s="4">
        <f>Despesas!E2</f>
        <v>500</v>
      </c>
    </row>
    <row r="5" spans="1:2" x14ac:dyDescent="0.35">
      <c r="A5" s="18" t="s">
        <v>15</v>
      </c>
      <c r="B5" s="4">
        <f>B3-B4</f>
        <v>-500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5"/>
  <sheetViews>
    <sheetView showGridLines="0" workbookViewId="0">
      <selection activeCell="F19" sqref="F19"/>
    </sheetView>
  </sheetViews>
  <sheetFormatPr defaultRowHeight="14.5" x14ac:dyDescent="0.35"/>
  <cols>
    <col min="1" max="1" width="4.6328125" customWidth="1"/>
    <col min="2" max="2" width="33.6328125" bestFit="1" customWidth="1"/>
    <col min="3" max="3" width="10.54296875" customWidth="1"/>
  </cols>
  <sheetData>
    <row r="1" spans="2:3" ht="18.5" x14ac:dyDescent="0.45">
      <c r="B1" s="1" t="s">
        <v>16</v>
      </c>
    </row>
    <row r="3" spans="2:3" x14ac:dyDescent="0.35">
      <c r="B3" s="6" t="s">
        <v>17</v>
      </c>
      <c r="C3" s="3" t="s">
        <v>18</v>
      </c>
    </row>
    <row r="4" spans="2:3" x14ac:dyDescent="0.35">
      <c r="B4" s="6" t="s">
        <v>19</v>
      </c>
      <c r="C4" s="3"/>
    </row>
    <row r="5" spans="2:3" x14ac:dyDescent="0.35">
      <c r="B5" s="6" t="s">
        <v>20</v>
      </c>
      <c r="C5" s="3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72B37211E4C64BAF83C1DC46169D9E" ma:contentTypeVersion="16" ma:contentTypeDescription="Crear nuevo documento." ma:contentTypeScope="" ma:versionID="ec10ad7ff3640971c8134d4b682b3ee5">
  <xsd:schema xmlns:xsd="http://www.w3.org/2001/XMLSchema" xmlns:xs="http://www.w3.org/2001/XMLSchema" xmlns:p="http://schemas.microsoft.com/office/2006/metadata/properties" xmlns:ns3="c6ff3f59-d10c-4351-bcb7-576740d70e91" xmlns:ns4="398ad139-501b-4eac-ac77-e39822b4b54e" targetNamespace="http://schemas.microsoft.com/office/2006/metadata/properties" ma:root="true" ma:fieldsID="b912a4dc2f9f6b7aaf87c9b7ac55fa86" ns3:_="" ns4:_="">
    <xsd:import namespace="c6ff3f59-d10c-4351-bcb7-576740d70e91"/>
    <xsd:import namespace="398ad139-501b-4eac-ac77-e39822b4b54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Location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f3f59-d10c-4351-bcb7-576740d70e9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ad139-501b-4eac-ac77-e39822b4b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8ad139-501b-4eac-ac77-e39822b4b54e" xsi:nil="true"/>
  </documentManagement>
</p:properties>
</file>

<file path=customXml/itemProps1.xml><?xml version="1.0" encoding="utf-8"?>
<ds:datastoreItem xmlns:ds="http://schemas.openxmlformats.org/officeDocument/2006/customXml" ds:itemID="{2D5C6175-5BB4-49E3-A931-37D56A3A6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f3f59-d10c-4351-bcb7-576740d70e91"/>
    <ds:schemaRef ds:uri="398ad139-501b-4eac-ac77-e39822b4b5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C065BF-F19B-41AC-8FDF-2F42953C08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52E9AB-EF67-4976-9C34-71556DBD55CD}">
  <ds:schemaRefs>
    <ds:schemaRef ds:uri="http://schemas.microsoft.com/office/2006/documentManagement/types"/>
    <ds:schemaRef ds:uri="http://schemas.microsoft.com/office/infopath/2007/PartnerControls"/>
    <ds:schemaRef ds:uri="c6ff3f59-d10c-4351-bcb7-576740d70e91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398ad139-501b-4eac-ac77-e39822b4b54e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Menu</vt:lpstr>
      <vt:lpstr>Rendimentos</vt:lpstr>
      <vt:lpstr>Despesas</vt:lpstr>
      <vt:lpstr>Bens</vt:lpstr>
      <vt:lpstr>Resumo</vt:lpstr>
      <vt:lpstr>Configurações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Helaine Cristina Ribeiro</cp:lastModifiedBy>
  <dcterms:created xsi:type="dcterms:W3CDTF">2026-02-01T23:22:26Z</dcterms:created>
  <dcterms:modified xsi:type="dcterms:W3CDTF">2026-02-02T00:21:10Z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0x0101009172B37211E4C64BAF83C1DC46169D9E</vt:lpwstr>
  </property>
</Properties>
</file>